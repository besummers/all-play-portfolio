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cuments/Purdue Global/IT599/"/>
    </mc:Choice>
  </mc:AlternateContent>
  <xr:revisionPtr revIDLastSave="0" documentId="8_{A0621601-57F4-D846-8C83-B3F5E018E126}" xr6:coauthVersionLast="47" xr6:coauthVersionMax="47" xr10:uidLastSave="{00000000-0000-0000-0000-000000000000}"/>
  <bookViews>
    <workbookView xWindow="-20" yWindow="680" windowWidth="30240" windowHeight="17700" xr2:uid="{0AE50D64-E223-2D4E-BA38-16DB7F148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6" i="1"/>
  <c r="B2" i="1"/>
  <c r="B3" i="1"/>
  <c r="B4" i="1"/>
  <c r="B5" i="1"/>
  <c r="B7" i="1"/>
</calcChain>
</file>

<file path=xl/sharedStrings.xml><?xml version="1.0" encoding="utf-8"?>
<sst xmlns="http://schemas.openxmlformats.org/spreadsheetml/2006/main" count="16" uniqueCount="16">
  <si>
    <t>Description</t>
  </si>
  <si>
    <t>Estimated Cost</t>
  </si>
  <si>
    <r>
      <t>Project Manager Labor (120 hours @ $45/hr)</t>
    </r>
    <r>
      <rPr>
        <sz val="12"/>
        <color rgb="FF000000"/>
        <rFont val="Aptos Narrow"/>
        <family val="2"/>
        <scheme val="minor"/>
      </rPr>
      <t> </t>
    </r>
  </si>
  <si>
    <r>
      <t>Data Analyst Labor (60 hours @ $55/hr)</t>
    </r>
    <r>
      <rPr>
        <sz val="12"/>
        <color rgb="FF000000"/>
        <rFont val="Aptos Narrow"/>
        <family val="2"/>
        <scheme val="minor"/>
      </rPr>
      <t> </t>
    </r>
  </si>
  <si>
    <r>
      <t>Cloud Architect Labor (40 hours @ $70/hr)</t>
    </r>
    <r>
      <rPr>
        <sz val="12"/>
        <color rgb="FF000000"/>
        <rFont val="Aptos Narrow"/>
        <family val="2"/>
        <scheme val="minor"/>
      </rPr>
      <t> </t>
    </r>
  </si>
  <si>
    <r>
      <t>Frontend Developer (80 hours @ $60/hr)</t>
    </r>
    <r>
      <rPr>
        <sz val="12"/>
        <color rgb="FF000000"/>
        <rFont val="Aptos Narrow"/>
        <family val="2"/>
        <scheme val="minor"/>
      </rPr>
      <t> </t>
    </r>
  </si>
  <si>
    <r>
      <t>Backend Developer (100 hours @ $65/hr)</t>
    </r>
    <r>
      <rPr>
        <sz val="12"/>
        <color rgb="FF000000"/>
        <rFont val="Aptos Narrow"/>
        <family val="2"/>
        <scheme val="minor"/>
      </rPr>
      <t> </t>
    </r>
  </si>
  <si>
    <t>AI/ML Engineer (40 hours @ $75/hr)</t>
  </si>
  <si>
    <r>
      <t>Testing &amp; QA</t>
    </r>
    <r>
      <rPr>
        <sz val="12"/>
        <color rgb="FF000000"/>
        <rFont val="Aptos Narrow"/>
        <family val="2"/>
        <scheme val="minor"/>
      </rPr>
      <t> </t>
    </r>
  </si>
  <si>
    <t>Azure Compute (D4s v5 VM + Storage)</t>
  </si>
  <si>
    <t>Azure Monitor + Log Analytics Workspace</t>
  </si>
  <si>
    <t>Azure AI Anomaly Detector API</t>
  </si>
  <si>
    <t>SME Consultation</t>
  </si>
  <si>
    <t>Subtotal</t>
  </si>
  <si>
    <t>Contingency (10%)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</si>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</sst>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6658D-E367-E642-94F8-561366C8C50B}">
  <dimension ref="A1:B15"/>
  <sheetViews>
    <sheetView tabSelected="1" workbookViewId="0">
      <selection activeCell="B15" sqref="B15"/>
    </sheetView>
  </sheetViews>
  <sheetFormatPr baseColWidth="10" defaultRowHeight="16" x14ac:dyDescent="0.2"/>
  <cols>
    <col min="1" max="1" width="88.33203125" bestFit="1" customWidth="1"/>
    <col min="2" max="2" width="13.8320312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2" t="s">
        <v>2</v>
      </c>
      <c r="B2" s="1">
        <f>120*45</f>
        <v>5400</v>
      </c>
    </row>
    <row r="3" spans="1:2" x14ac:dyDescent="0.2">
      <c r="A3" s="2" t="s">
        <v>3</v>
      </c>
      <c r="B3" s="1">
        <f>60*55</f>
        <v>3300</v>
      </c>
    </row>
    <row r="4" spans="1:2" x14ac:dyDescent="0.2">
      <c r="A4" s="2" t="s">
        <v>4</v>
      </c>
      <c r="B4" s="1">
        <f>40*70</f>
        <v>2800</v>
      </c>
    </row>
    <row r="5" spans="1:2" x14ac:dyDescent="0.2">
      <c r="A5" s="2" t="s">
        <v>5</v>
      </c>
      <c r="B5" s="1">
        <f>80*60</f>
        <v>4800</v>
      </c>
    </row>
    <row r="6" spans="1:2" x14ac:dyDescent="0.2">
      <c r="A6" s="2" t="s">
        <v>6</v>
      </c>
      <c r="B6" s="1">
        <f>100*65</f>
        <v>6500</v>
      </c>
    </row>
    <row r="7" spans="1:2" x14ac:dyDescent="0.2">
      <c r="A7" s="2" t="s">
        <v>7</v>
      </c>
      <c r="B7" s="1">
        <f>40*75</f>
        <v>3000</v>
      </c>
    </row>
    <row r="8" spans="1:2" x14ac:dyDescent="0.2">
      <c r="A8" s="2" t="s">
        <v>9</v>
      </c>
      <c r="B8" s="1">
        <v>1200</v>
      </c>
    </row>
    <row r="9" spans="1:2" x14ac:dyDescent="0.2">
      <c r="A9" s="2" t="s">
        <v>10</v>
      </c>
      <c r="B9" s="1">
        <v>900</v>
      </c>
    </row>
    <row r="10" spans="1:2" x14ac:dyDescent="0.2">
      <c r="A10" s="2" t="s">
        <v>11</v>
      </c>
      <c r="B10" s="1">
        <v>400</v>
      </c>
    </row>
    <row r="11" spans="1:2" x14ac:dyDescent="0.2">
      <c r="A11" s="2" t="s">
        <v>8</v>
      </c>
      <c r="B11" s="1">
        <v>600</v>
      </c>
    </row>
    <row r="12" spans="1:2" x14ac:dyDescent="0.2">
      <c r="A12" s="2" t="s">
        <v>12</v>
      </c>
      <c r="B12" s="1">
        <v>500</v>
      </c>
    </row>
    <row r="13" spans="1:2" x14ac:dyDescent="0.2">
      <c r="A13" s="2" t="s">
        <v>13</v>
      </c>
      <c r="B13" s="1">
        <f>SUM(B2:B12)</f>
        <v>29400</v>
      </c>
    </row>
    <row r="14" spans="1:2" x14ac:dyDescent="0.2">
      <c r="A14" s="2" t="s">
        <v>14</v>
      </c>
      <c r="B14" s="1">
        <f>B13*0.1</f>
        <v>2940</v>
      </c>
    </row>
    <row r="15" spans="1:2" x14ac:dyDescent="0.2">
      <c r="A15" s="3" t="s">
        <v>15</v>
      </c>
      <c r="B15">
        <f>SUM(B13,B14)</f>
        <v>32340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Summers</dc:creator>
  <cp:lastModifiedBy>Brian Summers</cp:lastModifiedBy>
  <dcterms:created xsi:type="dcterms:W3CDTF">2026-04-08T00:58:03Z</dcterms:created>
  <dcterms:modified xsi:type="dcterms:W3CDTF">2026-04-22T02:05:21Z</dcterms:modified>
</cp:coreProperties>
</file>